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</font>
    <font>
      <b val="1"/>
      <color rgb="001F4E78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2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AEAEA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Synthèse de qualification</t>
        </is>
      </c>
    </row>
    <row r="3">
      <c r="A3" s="2" t="inlineStr">
        <is>
          <t>Outil</t>
        </is>
      </c>
      <c r="B3" t="inlineStr">
        <is>
          <t>ShutterstockAnalyzer</t>
        </is>
      </c>
    </row>
    <row r="4">
      <c r="A4" s="2" t="inlineStr">
        <is>
          <t>Version</t>
        </is>
      </c>
      <c r="B4" t="inlineStr">
        <is>
          <t>v2.0.0</t>
        </is>
      </c>
    </row>
    <row r="5">
      <c r="A5" s="2" t="inlineStr">
        <is>
          <t>Date génération</t>
        </is>
      </c>
      <c r="B5" t="inlineStr">
        <is>
          <t>2026-05-19 07:32</t>
        </is>
      </c>
    </row>
    <row r="6">
      <c r="A6" s="2" t="inlineStr">
        <is>
          <t>Nombre de tests</t>
        </is>
      </c>
      <c r="B6" t="n">
        <v>49</v>
      </c>
    </row>
    <row r="7">
      <c r="A7" s="2" t="inlineStr">
        <is>
          <t>Environnement</t>
        </is>
      </c>
      <c r="B7" t="inlineStr">
        <is>
          <t>Windows 10/11 — Python 3.11</t>
        </is>
      </c>
    </row>
    <row r="8">
      <c r="A8" s="2" t="inlineStr">
        <is>
          <t>Testeur principal</t>
        </is>
      </c>
      <c r="B8" t="inlineStr"/>
    </row>
    <row r="11">
      <c r="A11" s="3" t="inlineStr">
        <is>
          <t>Catégorie</t>
        </is>
      </c>
      <c r="B11" s="4" t="inlineStr">
        <is>
          <t>Total</t>
        </is>
      </c>
      <c r="C11" s="4" t="inlineStr">
        <is>
          <t>OK</t>
        </is>
      </c>
      <c r="D11" s="4" t="inlineStr">
        <is>
          <t>NOK</t>
        </is>
      </c>
      <c r="E11" s="4" t="inlineStr">
        <is>
          <t>NA</t>
        </is>
      </c>
      <c r="F11" s="4" t="inlineStr">
        <is>
          <t>Bloqué</t>
        </is>
      </c>
      <c r="G11" s="4" t="inlineStr">
        <is>
          <t>Taux OK</t>
        </is>
      </c>
    </row>
    <row r="12">
      <c r="A12" s="5" t="inlineStr">
        <is>
          <t>Cas limites</t>
        </is>
      </c>
      <c r="B12">
        <f>COUNTIF(Tests!B:B,"Cas limites")</f>
        <v/>
      </c>
      <c r="C12">
        <f>COUNTIFS(Tests!B:B,"Cas limites",Tests!J:J,"OK")</f>
        <v/>
      </c>
      <c r="D12">
        <f>COUNTIFS(Tests!B:B,"Cas limites",Tests!J:J,"NOK")</f>
        <v/>
      </c>
      <c r="E12">
        <f>COUNTIFS(Tests!B:B,"Cas limites",Tests!J:J,"NA")</f>
        <v/>
      </c>
      <c r="F12">
        <f>COUNTIFS(Tests!B:B,"Cas limites",Tests!J:J,"Bloqué")</f>
        <v/>
      </c>
      <c r="G12" s="6">
        <f>IFERROR(C12/(B12-E12),0)</f>
        <v/>
      </c>
    </row>
    <row r="13">
      <c r="A13" s="5" t="inlineStr">
        <is>
          <t>Entrées</t>
        </is>
      </c>
      <c r="B13">
        <f>COUNTIF(Tests!B:B,"Entrées")</f>
        <v/>
      </c>
      <c r="C13">
        <f>COUNTIFS(Tests!B:B,"Entrées",Tests!J:J,"OK")</f>
        <v/>
      </c>
      <c r="D13">
        <f>COUNTIFS(Tests!B:B,"Entrées",Tests!J:J,"NOK")</f>
        <v/>
      </c>
      <c r="E13">
        <f>COUNTIFS(Tests!B:B,"Entrées",Tests!J:J,"NA")</f>
        <v/>
      </c>
      <c r="F13">
        <f>COUNTIFS(Tests!B:B,"Entrées",Tests!J:J,"Bloqué")</f>
        <v/>
      </c>
      <c r="G13" s="6">
        <f>IFERROR(C13/(B13-E13),0)</f>
        <v/>
      </c>
    </row>
    <row r="14">
      <c r="A14" s="5" t="inlineStr">
        <is>
          <t>IHM</t>
        </is>
      </c>
      <c r="B14">
        <f>COUNTIF(Tests!B:B,"IHM")</f>
        <v/>
      </c>
      <c r="C14">
        <f>COUNTIFS(Tests!B:B,"IHM",Tests!J:J,"OK")</f>
        <v/>
      </c>
      <c r="D14">
        <f>COUNTIFS(Tests!B:B,"IHM",Tests!J:J,"NOK")</f>
        <v/>
      </c>
      <c r="E14">
        <f>COUNTIFS(Tests!B:B,"IHM",Tests!J:J,"NA")</f>
        <v/>
      </c>
      <c r="F14">
        <f>COUNTIFS(Tests!B:B,"IHM",Tests!J:J,"Bloqué")</f>
        <v/>
      </c>
      <c r="G14" s="6">
        <f>IFERROR(C14/(B14-E14),0)</f>
        <v/>
      </c>
    </row>
    <row r="15">
      <c r="A15" s="5" t="inlineStr">
        <is>
          <t>Paramètres</t>
        </is>
      </c>
      <c r="B15">
        <f>COUNTIF(Tests!B:B,"Paramètres")</f>
        <v/>
      </c>
      <c r="C15">
        <f>COUNTIFS(Tests!B:B,"Paramètres",Tests!J:J,"OK")</f>
        <v/>
      </c>
      <c r="D15">
        <f>COUNTIFS(Tests!B:B,"Paramètres",Tests!J:J,"NOK")</f>
        <v/>
      </c>
      <c r="E15">
        <f>COUNTIFS(Tests!B:B,"Paramètres",Tests!J:J,"NA")</f>
        <v/>
      </c>
      <c r="F15">
        <f>COUNTIFS(Tests!B:B,"Paramètres",Tests!J:J,"Bloqué")</f>
        <v/>
      </c>
      <c r="G15" s="6">
        <f>IFERROR(C15/(B15-E15),0)</f>
        <v/>
      </c>
    </row>
    <row r="16">
      <c r="A16" s="5" t="inlineStr">
        <is>
          <t>Performance</t>
        </is>
      </c>
      <c r="B16">
        <f>COUNTIF(Tests!B:B,"Performance")</f>
        <v/>
      </c>
      <c r="C16">
        <f>COUNTIFS(Tests!B:B,"Performance",Tests!J:J,"OK")</f>
        <v/>
      </c>
      <c r="D16">
        <f>COUNTIFS(Tests!B:B,"Performance",Tests!J:J,"NOK")</f>
        <v/>
      </c>
      <c r="E16">
        <f>COUNTIFS(Tests!B:B,"Performance",Tests!J:J,"NA")</f>
        <v/>
      </c>
      <c r="F16">
        <f>COUNTIFS(Tests!B:B,"Performance",Tests!J:J,"Bloqué")</f>
        <v/>
      </c>
      <c r="G16" s="6">
        <f>IFERROR(C16/(B16-E16),0)</f>
        <v/>
      </c>
    </row>
    <row r="17">
      <c r="A17" s="5" t="inlineStr">
        <is>
          <t>Robustesse</t>
        </is>
      </c>
      <c r="B17">
        <f>COUNTIF(Tests!B:B,"Robustesse")</f>
        <v/>
      </c>
      <c r="C17">
        <f>COUNTIFS(Tests!B:B,"Robustesse",Tests!J:J,"OK")</f>
        <v/>
      </c>
      <c r="D17">
        <f>COUNTIFS(Tests!B:B,"Robustesse",Tests!J:J,"NOK")</f>
        <v/>
      </c>
      <c r="E17">
        <f>COUNTIFS(Tests!B:B,"Robustesse",Tests!J:J,"NA")</f>
        <v/>
      </c>
      <c r="F17">
        <f>COUNTIFS(Tests!B:B,"Robustesse",Tests!J:J,"Bloqué")</f>
        <v/>
      </c>
      <c r="G17" s="6">
        <f>IFERROR(C17/(B17-E17),0)</f>
        <v/>
      </c>
    </row>
    <row r="18">
      <c r="A18" s="5" t="inlineStr">
        <is>
          <t>Régression</t>
        </is>
      </c>
      <c r="B18">
        <f>COUNTIF(Tests!B:B,"Régression")</f>
        <v/>
      </c>
      <c r="C18">
        <f>COUNTIFS(Tests!B:B,"Régression",Tests!J:J,"OK")</f>
        <v/>
      </c>
      <c r="D18">
        <f>COUNTIFS(Tests!B:B,"Régression",Tests!J:J,"NOK")</f>
        <v/>
      </c>
      <c r="E18">
        <f>COUNTIFS(Tests!B:B,"Régression",Tests!J:J,"NA")</f>
        <v/>
      </c>
      <c r="F18">
        <f>COUNTIFS(Tests!B:B,"Régression",Tests!J:J,"Bloqué")</f>
        <v/>
      </c>
      <c r="G18" s="6">
        <f>IFERROR(C18/(B18-E18),0)</f>
        <v/>
      </c>
    </row>
    <row r="19">
      <c r="A19" s="5" t="inlineStr">
        <is>
          <t>Sorties</t>
        </is>
      </c>
      <c r="B19">
        <f>COUNTIF(Tests!B:B,"Sorties")</f>
        <v/>
      </c>
      <c r="C19">
        <f>COUNTIFS(Tests!B:B,"Sorties",Tests!J:J,"OK")</f>
        <v/>
      </c>
      <c r="D19">
        <f>COUNTIFS(Tests!B:B,"Sorties",Tests!J:J,"NOK")</f>
        <v/>
      </c>
      <c r="E19">
        <f>COUNTIFS(Tests!B:B,"Sorties",Tests!J:J,"NA")</f>
        <v/>
      </c>
      <c r="F19">
        <f>COUNTIFS(Tests!B:B,"Sorties",Tests!J:J,"Bloqué")</f>
        <v/>
      </c>
      <c r="G19" s="6">
        <f>IFERROR(C19/(B19-E19),0)</f>
        <v/>
      </c>
    </row>
    <row r="20">
      <c r="A20" s="7" t="inlineStr">
        <is>
          <t>TOTAL</t>
        </is>
      </c>
      <c r="B20" s="2">
        <f>SUM(B12:B19)</f>
        <v/>
      </c>
      <c r="C20" s="2">
        <f>SUM(C12:C19)</f>
        <v/>
      </c>
      <c r="D20" s="2">
        <f>SUM(D12:D19)</f>
        <v/>
      </c>
      <c r="E20" s="2">
        <f>SUM(E12:E19)</f>
        <v/>
      </c>
      <c r="F20" s="2">
        <f>SUM(F12:F19)</f>
        <v/>
      </c>
      <c r="G20" s="8">
        <f>IFERROR(C20/(B20-E20),0)</f>
        <v/>
      </c>
    </row>
    <row r="23">
      <c r="A23" s="9" t="inlineStr">
        <is>
          <t>Conclusion</t>
        </is>
      </c>
    </row>
    <row r="24">
      <c r="A24" s="2" t="inlineStr">
        <is>
          <t>Décision (go / no-go / go conditionnel)</t>
        </is>
      </c>
    </row>
    <row r="25">
      <c r="A25" s="2" t="inlineStr">
        <is>
          <t>Signature</t>
        </is>
      </c>
    </row>
    <row r="26">
      <c r="A26" s="2" t="inlineStr">
        <is>
          <t>Date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22" customWidth="1" min="4" max="4"/>
    <col width="38" customWidth="1" min="5" max="5"/>
    <col width="22" customWidth="1" min="6" max="6"/>
    <col width="28" customWidth="1" min="7" max="7"/>
    <col width="50" customWidth="1" min="8" max="8"/>
    <col width="28" customWidth="1" min="9" max="9"/>
    <col width="9" customWidth="1" min="10" max="10"/>
    <col width="11" customWidth="1" min="11" max="11"/>
    <col width="12" customWidth="1" min="12" max="12"/>
    <col width="12" customWidth="1" min="13" max="13"/>
    <col width="26" customWidth="1" min="14" max="14"/>
  </cols>
  <sheetData>
    <row r="1" ht="30" customHeight="1">
      <c r="A1" s="10" t="inlineStr">
        <is>
          <t>ID_Test</t>
        </is>
      </c>
      <c r="B1" s="10" t="inlineStr">
        <is>
          <t>Catégorie</t>
        </is>
      </c>
      <c r="C1" s="10" t="inlineStr">
        <is>
          <t>Exigence</t>
        </is>
      </c>
      <c r="D1" s="10" t="inlineStr">
        <is>
          <t>Fonctionnalité</t>
        </is>
      </c>
      <c r="E1" s="10" t="inlineStr">
        <is>
          <t>Description</t>
        </is>
      </c>
      <c r="F1" s="10" t="inlineStr">
        <is>
          <t>Pré-requis</t>
        </is>
      </c>
      <c r="G1" s="10" t="inlineStr">
        <is>
          <t>Données entrée</t>
        </is>
      </c>
      <c r="H1" s="10" t="inlineStr">
        <is>
          <t>Résultat attendu</t>
        </is>
      </c>
      <c r="I1" s="10" t="inlineStr">
        <is>
          <t>Résultat obtenu</t>
        </is>
      </c>
      <c r="J1" s="10" t="inlineStr">
        <is>
          <t>Statut</t>
        </is>
      </c>
      <c r="K1" s="10" t="inlineStr">
        <is>
          <t>Sévérité</t>
        </is>
      </c>
      <c r="L1" s="10" t="inlineStr">
        <is>
          <t>Testeur</t>
        </is>
      </c>
      <c r="M1" s="10" t="inlineStr">
        <is>
          <t>Date</t>
        </is>
      </c>
      <c r="N1" s="10" t="inlineStr">
        <is>
          <t>Commentaires</t>
        </is>
      </c>
    </row>
    <row r="2">
      <c r="A2" s="11" t="inlineStr">
        <is>
          <t>T-001</t>
        </is>
      </c>
      <c r="B2" s="11" t="inlineStr">
        <is>
          <t>IHM</t>
        </is>
      </c>
      <c r="C2" s="11" t="inlineStr">
        <is>
          <t>REQ-IHM-01</t>
        </is>
      </c>
      <c r="D2" s="11" t="inlineStr">
        <is>
          <t>Topbar / Theme</t>
        </is>
      </c>
      <c r="E2" s="11" t="inlineStr">
        <is>
          <t>Toggle theme 3× (light→dark→system→light)</t>
        </is>
      </c>
      <c r="F2" s="11" t="inlineStr">
        <is>
          <t>App lancée</t>
        </is>
      </c>
      <c r="G2" s="11" t="inlineStr">
        <is>
          <t>3 clics sur 🌙/☀/⚙</t>
        </is>
      </c>
      <c r="H2" s="11" t="inlineStr">
        <is>
          <t>La fenêtre garde sa taille, palette change, aucune erreur log</t>
        </is>
      </c>
      <c r="I2" s="11" t="inlineStr"/>
      <c r="J2" s="11" t="inlineStr">
        <is>
          <t>NA</t>
        </is>
      </c>
      <c r="K2" s="11" t="inlineStr">
        <is>
          <t>mineure</t>
        </is>
      </c>
      <c r="L2" s="11" t="inlineStr"/>
      <c r="M2" s="11" t="inlineStr"/>
      <c r="N2" s="11" t="inlineStr"/>
    </row>
    <row r="3">
      <c r="A3" s="11" t="inlineStr">
        <is>
          <t>T-002</t>
        </is>
      </c>
      <c r="B3" s="11" t="inlineStr">
        <is>
          <t>IHM</t>
        </is>
      </c>
      <c r="C3" s="11" t="inlineStr">
        <is>
          <t>REQ-IHM-02</t>
        </is>
      </c>
      <c r="D3" s="11" t="inlineStr">
        <is>
          <t>Topbar / Aide</t>
        </is>
      </c>
      <c r="E3" s="11" t="inlineStr">
        <is>
          <t>Bouton Aide → modal raccourcis</t>
        </is>
      </c>
      <c r="F3" s="11" t="inlineStr">
        <is>
          <t>App lancée</t>
        </is>
      </c>
      <c r="G3" s="11" t="inlineStr">
        <is>
          <t>Clic ? ou Ctrl+?</t>
        </is>
      </c>
      <c r="H3" s="11" t="inlineStr">
        <is>
          <t>Modal listant tous les raccourcis, fermable par Esc</t>
        </is>
      </c>
      <c r="I3" s="11" t="inlineStr"/>
      <c r="J3" s="11" t="inlineStr">
        <is>
          <t>NA</t>
        </is>
      </c>
      <c r="K3" s="11" t="inlineStr">
        <is>
          <t>mineure</t>
        </is>
      </c>
      <c r="L3" s="11" t="inlineStr"/>
      <c r="M3" s="11" t="inlineStr"/>
      <c r="N3" s="11" t="inlineStr"/>
    </row>
    <row r="4">
      <c r="A4" s="11" t="inlineStr">
        <is>
          <t>T-003</t>
        </is>
      </c>
      <c r="B4" s="11" t="inlineStr">
        <is>
          <t>IHM</t>
        </is>
      </c>
      <c r="C4" s="11" t="inlineStr">
        <is>
          <t>REQ-IHM-03</t>
        </is>
      </c>
      <c r="D4" s="11" t="inlineStr">
        <is>
          <t>Sources / Scanner</t>
        </is>
      </c>
      <c r="E4" s="11" t="inlineStr">
        <is>
          <t>Scanner un dossier de 10 images JPEG valides</t>
        </is>
      </c>
      <c r="F4" s="11" t="inlineStr">
        <is>
          <t>Dossier test préparé</t>
        </is>
      </c>
      <c r="G4" s="11" t="inlineStr">
        <is>
          <t>Sélectionner dossier puis cliquer Scanner</t>
        </is>
      </c>
      <c r="H4" s="11" t="inlineStr">
        <is>
          <t>DataTable affiche 10 lignes, compteur = « 10 fichiers : 10 »</t>
        </is>
      </c>
      <c r="I4" s="11" t="inlineStr"/>
      <c r="J4" s="11" t="inlineStr">
        <is>
          <t>NA</t>
        </is>
      </c>
      <c r="K4" s="11" t="inlineStr">
        <is>
          <t>majeure</t>
        </is>
      </c>
      <c r="L4" s="11" t="inlineStr"/>
      <c r="M4" s="11" t="inlineStr"/>
      <c r="N4" s="11" t="inlineStr"/>
    </row>
    <row r="5">
      <c r="A5" s="11" t="inlineStr">
        <is>
          <t>T-004</t>
        </is>
      </c>
      <c r="B5" s="11" t="inlineStr">
        <is>
          <t>IHM</t>
        </is>
      </c>
      <c r="C5" s="11" t="inlineStr">
        <is>
          <t>REQ-IHM-04</t>
        </is>
      </c>
      <c r="D5" s="11" t="inlineStr">
        <is>
          <t>Sources / + Fichiers</t>
        </is>
      </c>
      <c r="E5" s="11" t="inlineStr">
        <is>
          <t>Ajouter 5 fichiers via le bouton + Fichiers…</t>
        </is>
      </c>
      <c r="F5" s="11" t="inlineStr">
        <is>
          <t>Liste déjà peuplée</t>
        </is>
      </c>
      <c r="G5" s="11" t="inlineStr">
        <is>
          <t>Multi-sélection 5 jpg dans le dialogue</t>
        </is>
      </c>
      <c r="H5" s="11" t="inlineStr">
        <is>
          <t>Ajout sans doublons, compteur incrémenté</t>
        </is>
      </c>
      <c r="I5" s="11" t="inlineStr"/>
      <c r="J5" s="11" t="inlineStr">
        <is>
          <t>NA</t>
        </is>
      </c>
      <c r="K5" s="11" t="inlineStr">
        <is>
          <t>mineure</t>
        </is>
      </c>
      <c r="L5" s="11" t="inlineStr"/>
      <c r="M5" s="11" t="inlineStr"/>
      <c r="N5" s="11" t="inlineStr"/>
    </row>
    <row r="6">
      <c r="A6" s="11" t="inlineStr">
        <is>
          <t>T-005</t>
        </is>
      </c>
      <c r="B6" s="11" t="inlineStr">
        <is>
          <t>IHM</t>
        </is>
      </c>
      <c r="C6" s="11" t="inlineStr">
        <is>
          <t>REQ-IHM-05</t>
        </is>
      </c>
      <c r="D6" s="11" t="inlineStr">
        <is>
          <t>Sources / Supprimer</t>
        </is>
      </c>
      <c r="E6" s="11" t="inlineStr">
        <is>
          <t>Supprimer une sélection via clavier (Suppr) ou bouton</t>
        </is>
      </c>
      <c r="F6" s="11" t="inlineStr">
        <is>
          <t>1 ligne sélectionnée</t>
        </is>
      </c>
      <c r="G6" s="11" t="inlineStr">
        <is>
          <t>Touche Suppr</t>
        </is>
      </c>
      <c r="H6" s="11" t="inlineStr">
        <is>
          <t>Ligne retirée, compteur −1, focus voisin</t>
        </is>
      </c>
      <c r="I6" s="11" t="inlineStr"/>
      <c r="J6" s="11" t="inlineStr">
        <is>
          <t>NA</t>
        </is>
      </c>
      <c r="K6" s="11" t="inlineStr">
        <is>
          <t>mineure</t>
        </is>
      </c>
      <c r="L6" s="11" t="inlineStr"/>
      <c r="M6" s="11" t="inlineStr"/>
      <c r="N6" s="11" t="inlineStr"/>
    </row>
    <row r="7">
      <c r="A7" s="11" t="inlineStr">
        <is>
          <t>T-006</t>
        </is>
      </c>
      <c r="B7" s="11" t="inlineStr">
        <is>
          <t>IHM</t>
        </is>
      </c>
      <c r="C7" s="11" t="inlineStr">
        <is>
          <t>REQ-IHM-06</t>
        </is>
      </c>
      <c r="D7" s="11" t="inlineStr">
        <is>
          <t>Sources / Vider</t>
        </is>
      </c>
      <c r="E7" s="11" t="inlineStr">
        <is>
          <t>Bouton Vider — action destructive avec confirmation</t>
        </is>
      </c>
      <c r="F7" s="11" t="inlineStr">
        <is>
          <t>Liste non vide</t>
        </is>
      </c>
      <c r="G7" s="11" t="inlineStr">
        <is>
          <t>Clic Vider → Confirmer</t>
        </is>
      </c>
      <c r="H7" s="11" t="inlineStr">
        <is>
          <t>Liste vide après confirmation, refus si Annuler</t>
        </is>
      </c>
      <c r="I7" s="11" t="inlineStr"/>
      <c r="J7" s="11" t="inlineStr">
        <is>
          <t>NA</t>
        </is>
      </c>
      <c r="K7" s="11" t="inlineStr">
        <is>
          <t>mineure</t>
        </is>
      </c>
      <c r="L7" s="11" t="inlineStr"/>
      <c r="M7" s="11" t="inlineStr"/>
      <c r="N7" s="11" t="inlineStr"/>
    </row>
    <row r="8">
      <c r="A8" s="11" t="inlineStr">
        <is>
          <t>T-007</t>
        </is>
      </c>
      <c r="B8" s="11" t="inlineStr">
        <is>
          <t>IHM</t>
        </is>
      </c>
      <c r="C8" s="11" t="inlineStr">
        <is>
          <t>REQ-IHM-07</t>
        </is>
      </c>
      <c r="D8" s="11" t="inlineStr">
        <is>
          <t>Sources / Tout-Aucun</t>
        </is>
      </c>
      <c r="E8" s="11" t="inlineStr">
        <is>
          <t>Boutons Tout / Aucun pour la sélection</t>
        </is>
      </c>
      <c r="F8" s="11" t="inlineStr">
        <is>
          <t>Liste non vide</t>
        </is>
      </c>
      <c r="G8" s="11" t="inlineStr">
        <is>
          <t>Clic Tout puis clic Aucun</t>
        </is>
      </c>
      <c r="H8" s="11" t="inlineStr">
        <is>
          <t>Sélection complète puis vidée</t>
        </is>
      </c>
      <c r="I8" s="11" t="inlineStr"/>
      <c r="J8" s="11" t="inlineStr">
        <is>
          <t>NA</t>
        </is>
      </c>
      <c r="K8" s="11" t="inlineStr">
        <is>
          <t>mineure</t>
        </is>
      </c>
      <c r="L8" s="11" t="inlineStr"/>
      <c r="M8" s="11" t="inlineStr"/>
      <c r="N8" s="11" t="inlineStr"/>
    </row>
    <row r="9">
      <c r="A9" s="11" t="inlineStr">
        <is>
          <t>T-008</t>
        </is>
      </c>
      <c r="B9" s="11" t="inlineStr">
        <is>
          <t>IHM</t>
        </is>
      </c>
      <c r="C9" s="11" t="inlineStr">
        <is>
          <t>REQ-IHM-08</t>
        </is>
      </c>
      <c r="D9" s="11" t="inlineStr">
        <is>
          <t>Éditeur / Collapse</t>
        </is>
      </c>
      <c r="E9" s="11" t="inlineStr">
        <is>
          <t>Toggle ▼/▶ masque/affiche le corps</t>
        </is>
      </c>
      <c r="F9" s="11" t="inlineStr">
        <is>
          <t>App lancée</t>
        </is>
      </c>
      <c r="G9" s="11" t="inlineStr">
        <is>
          <t>Clic flèche</t>
        </is>
      </c>
      <c r="H9" s="11" t="inlineStr">
        <is>
          <t>Corps masqué/visible, état conservé pendant la session</t>
        </is>
      </c>
      <c r="I9" s="11" t="inlineStr"/>
      <c r="J9" s="11" t="inlineStr">
        <is>
          <t>NA</t>
        </is>
      </c>
      <c r="K9" s="11" t="inlineStr">
        <is>
          <t>mineure</t>
        </is>
      </c>
      <c r="L9" s="11" t="inlineStr"/>
      <c r="M9" s="11" t="inlineStr"/>
      <c r="N9" s="11" t="inlineStr"/>
    </row>
    <row r="10">
      <c r="A10" s="11" t="inlineStr">
        <is>
          <t>T-009</t>
        </is>
      </c>
      <c r="B10" s="11" t="inlineStr">
        <is>
          <t>IHM</t>
        </is>
      </c>
      <c r="C10" s="11" t="inlineStr">
        <is>
          <t>REQ-IHM-09</t>
        </is>
      </c>
      <c r="D10" s="11" t="inlineStr">
        <is>
          <t>Éditeur / Lire</t>
        </is>
      </c>
      <c r="E10" s="11" t="inlineStr">
        <is>
          <t>Double-clic ligne → 5 champs remplis depuis IPTC</t>
        </is>
      </c>
      <c r="F10" s="11" t="inlineStr">
        <is>
          <t>Image scannée avec IPTC</t>
        </is>
      </c>
      <c r="G10" s="11" t="inlineStr">
        <is>
          <t>Double-clic ligne Sources</t>
        </is>
      </c>
      <c r="H10" s="11" t="inlineStr">
        <is>
          <t>Titre/Description/Mots-clés/Auteur/Copyright remplis</t>
        </is>
      </c>
      <c r="I10" s="11" t="inlineStr"/>
      <c r="J10" s="11" t="inlineStr">
        <is>
          <t>NA</t>
        </is>
      </c>
      <c r="K10" s="11" t="inlineStr">
        <is>
          <t>majeure</t>
        </is>
      </c>
      <c r="L10" s="11" t="inlineStr"/>
      <c r="M10" s="11" t="inlineStr"/>
      <c r="N10" s="11" t="inlineStr"/>
    </row>
    <row r="11">
      <c r="A11" s="11" t="inlineStr">
        <is>
          <t>T-010</t>
        </is>
      </c>
      <c r="B11" s="11" t="inlineStr">
        <is>
          <t>IHM</t>
        </is>
      </c>
      <c r="C11" s="11" t="inlineStr">
        <is>
          <t>REQ-IHM-10</t>
        </is>
      </c>
      <c r="D11" s="11" t="inlineStr">
        <is>
          <t>Éditeur / Écrire</t>
        </is>
      </c>
      <c r="E11" s="11" t="inlineStr">
        <is>
          <t>Modifier titre + cliquer Écrire</t>
        </is>
      </c>
      <c r="F11" s="11" t="inlineStr">
        <is>
          <t>Image scannée</t>
        </is>
      </c>
      <c r="G11" s="11" t="inlineStr">
        <is>
          <t>Modifier puis clic Écrire</t>
        </is>
      </c>
      <c r="H11" s="11" t="inlineStr">
        <is>
          <t>Toast succès, IPTC du fichier modifié sur disque (vérif avec exiftool)</t>
        </is>
      </c>
      <c r="I11" s="11" t="inlineStr"/>
      <c r="J11" s="11" t="inlineStr">
        <is>
          <t>NA</t>
        </is>
      </c>
      <c r="K11" s="11" t="inlineStr">
        <is>
          <t>majeure</t>
        </is>
      </c>
      <c r="L11" s="11" t="inlineStr"/>
      <c r="M11" s="11" t="inlineStr"/>
      <c r="N11" s="11" t="inlineStr"/>
    </row>
    <row r="12">
      <c r="A12" s="11" t="inlineStr">
        <is>
          <t>T-011</t>
        </is>
      </c>
      <c r="B12" s="11" t="inlineStr">
        <is>
          <t>IHM</t>
        </is>
      </c>
      <c r="C12" s="11" t="inlineStr">
        <is>
          <t>REQ-IHM-11</t>
        </is>
      </c>
      <c r="D12" s="11" t="inlineStr">
        <is>
          <t>Éditeur / Rapport expert sans sélection</t>
        </is>
      </c>
      <c r="E12" s="11" t="inlineStr">
        <is>
          <t>Cliquer Rapport expert sans avoir sélectionné de fichier</t>
        </is>
      </c>
      <c r="F12" s="11" t="inlineStr">
        <is>
          <t>App lancée</t>
        </is>
      </c>
      <c r="G12" s="11" t="inlineStr">
        <is>
          <t>Clic Rapport expert…</t>
        </is>
      </c>
      <c r="H12" s="11" t="inlineStr">
        <is>
          <t>Toast warning « Sélectionnez d'abord une image »</t>
        </is>
      </c>
      <c r="I12" s="11" t="inlineStr"/>
      <c r="J12" s="11" t="inlineStr">
        <is>
          <t>NA</t>
        </is>
      </c>
      <c r="K12" s="11" t="inlineStr">
        <is>
          <t>majeure</t>
        </is>
      </c>
      <c r="L12" s="11" t="inlineStr"/>
      <c r="M12" s="11" t="inlineStr"/>
      <c r="N12" s="11" t="inlineStr"/>
    </row>
    <row r="13">
      <c r="A13" s="11" t="inlineStr">
        <is>
          <t>T-012</t>
        </is>
      </c>
      <c r="B13" s="11" t="inlineStr">
        <is>
          <t>IHM</t>
        </is>
      </c>
      <c r="C13" s="11" t="inlineStr">
        <is>
          <t>REQ-IHM-12</t>
        </is>
      </c>
      <c r="D13" s="11" t="inlineStr">
        <is>
          <t>Éditeur / Rapport expert avec sélection</t>
        </is>
      </c>
      <c r="E13" s="11" t="inlineStr">
        <is>
          <t>Cliquer Rapport expert après double-clic sur ligne</t>
        </is>
      </c>
      <c r="F13" s="11" t="inlineStr">
        <is>
          <t>Image scannée + double-clic</t>
        </is>
      </c>
      <c r="G13" s="11" t="inlineStr">
        <is>
          <t>Clic Rapport expert…</t>
        </is>
      </c>
      <c r="H13" s="11" t="inlineStr">
        <is>
          <t>Modal s'ouvre, mode « Rapide (sans IA) », 8 sections affichées</t>
        </is>
      </c>
      <c r="I13" s="11" t="inlineStr"/>
      <c r="J13" s="11" t="inlineStr">
        <is>
          <t>NA</t>
        </is>
      </c>
      <c r="K13" s="11" t="inlineStr">
        <is>
          <t>critique</t>
        </is>
      </c>
      <c r="L13" s="11" t="inlineStr"/>
      <c r="M13" s="11" t="inlineStr"/>
      <c r="N13" s="11" t="inlineStr"/>
    </row>
    <row r="14">
      <c r="A14" s="11" t="inlineStr">
        <is>
          <t>T-013</t>
        </is>
      </c>
      <c r="B14" s="11" t="inlineStr">
        <is>
          <t>IHM</t>
        </is>
      </c>
      <c r="C14" s="11" t="inlineStr">
        <is>
          <t>REQ-IHM-13</t>
        </is>
      </c>
      <c r="D14" s="11" t="inlineStr">
        <is>
          <t>Analyse / Démarrer désactivé</t>
        </is>
      </c>
      <c r="E14" s="11" t="inlineStr">
        <is>
          <t>Démarrer grisé tant que sélection vide</t>
        </is>
      </c>
      <c r="F14" s="11" t="inlineStr">
        <is>
          <t>Liste vide ou rien sélectionné</t>
        </is>
      </c>
      <c r="G14" s="11" t="inlineStr">
        <is>
          <t>Vérifier visuel + tentative clic</t>
        </is>
      </c>
      <c r="H14" s="11" t="inlineStr">
        <is>
          <t>Bouton désactivé, clic sans effet</t>
        </is>
      </c>
      <c r="I14" s="11" t="inlineStr"/>
      <c r="J14" s="11" t="inlineStr">
        <is>
          <t>NA</t>
        </is>
      </c>
      <c r="K14" s="11" t="inlineStr">
        <is>
          <t>majeure</t>
        </is>
      </c>
      <c r="L14" s="11" t="inlineStr"/>
      <c r="M14" s="11" t="inlineStr"/>
      <c r="N14" s="11" t="inlineStr"/>
    </row>
    <row r="15">
      <c r="A15" s="11" t="inlineStr">
        <is>
          <t>T-014</t>
        </is>
      </c>
      <c r="B15" s="11" t="inlineStr">
        <is>
          <t>IHM</t>
        </is>
      </c>
      <c r="C15" s="11" t="inlineStr">
        <is>
          <t>REQ-IHM-14</t>
        </is>
      </c>
      <c r="D15" s="11" t="inlineStr">
        <is>
          <t>Analyse / Arrêter via Esc</t>
        </is>
      </c>
      <c r="E15" s="11" t="inlineStr">
        <is>
          <t>Esc annule le batch en cours</t>
        </is>
      </c>
      <c r="F15" s="11" t="inlineStr">
        <is>
          <t>Batch en cours</t>
        </is>
      </c>
      <c r="G15" s="11" t="inlineStr">
        <is>
          <t>Appui Esc</t>
        </is>
      </c>
      <c r="H15" s="11" t="inlineStr">
        <is>
          <t>Toast « Annulation demandée… », batch s'arrête à l'image suivante</t>
        </is>
      </c>
      <c r="I15" s="11" t="inlineStr"/>
      <c r="J15" s="11" t="inlineStr">
        <is>
          <t>NA</t>
        </is>
      </c>
      <c r="K15" s="11" t="inlineStr">
        <is>
          <t>majeure</t>
        </is>
      </c>
      <c r="L15" s="11" t="inlineStr"/>
      <c r="M15" s="11" t="inlineStr"/>
      <c r="N15" s="11" t="inlineStr"/>
    </row>
    <row r="16">
      <c r="A16" s="11" t="inlineStr">
        <is>
          <t>T-015</t>
        </is>
      </c>
      <c r="B16" s="11" t="inlineStr">
        <is>
          <t>IHM</t>
        </is>
      </c>
      <c r="C16" s="11" t="inlineStr">
        <is>
          <t>REQ-IHM-15</t>
        </is>
      </c>
      <c r="D16" s="11" t="inlineStr">
        <is>
          <t>Modaux / Ouverture-fermeture</t>
        </is>
      </c>
      <c r="E16" s="11" t="inlineStr">
        <is>
          <t>Ouvrir/fermer 5 modaux (settings, audit, ai_control, validate, expert_report)</t>
        </is>
      </c>
      <c r="F16" s="11" t="inlineStr">
        <is>
          <t>App lancée</t>
        </is>
      </c>
      <c r="G16" s="11" t="inlineStr">
        <is>
          <t>Détail… × 5 + Esc à chaque fois</t>
        </is>
      </c>
      <c r="H16" s="11" t="inlineStr">
        <is>
          <t>Chaque modal s'ouvre puis se ferme proprement, fenêtre principale OK</t>
        </is>
      </c>
      <c r="I16" s="11" t="inlineStr"/>
      <c r="J16" s="11" t="inlineStr">
        <is>
          <t>NA</t>
        </is>
      </c>
      <c r="K16" s="11" t="inlineStr">
        <is>
          <t>majeure</t>
        </is>
      </c>
      <c r="L16" s="11" t="inlineStr"/>
      <c r="M16" s="11" t="inlineStr"/>
      <c r="N16" s="11" t="inlineStr"/>
    </row>
    <row r="17">
      <c r="A17" s="11" t="inlineStr">
        <is>
          <t>T-020</t>
        </is>
      </c>
      <c r="B17" s="11" t="inlineStr">
        <is>
          <t>Paramètres</t>
        </is>
      </c>
      <c r="C17" s="11" t="inlineStr">
        <is>
          <t>REQ-PARAM-01</t>
        </is>
      </c>
      <c r="D17" s="11" t="inlineStr">
        <is>
          <t>Mode sans IA (défaut)</t>
        </is>
      </c>
      <c r="E17" s="11" t="inlineStr">
        <is>
          <t>Rapport expert avec checkbox IA décochée (défaut)</t>
        </is>
      </c>
      <c r="F17" s="11" t="inlineStr">
        <is>
          <t>Aucun Ollama requis</t>
        </is>
      </c>
      <c r="G17" s="11" t="inlineStr">
        <is>
          <t>Ouvrir Rapport expert sur une image</t>
        </is>
      </c>
      <c r="H17" s="11" t="inlineStr">
        <is>
          <t>Source = « heuristic », aucune trace d'appel HTTP Ollama dans les logs</t>
        </is>
      </c>
      <c r="I17" s="11" t="inlineStr"/>
      <c r="J17" s="11" t="inlineStr">
        <is>
          <t>NA</t>
        </is>
      </c>
      <c r="K17" s="11" t="inlineStr">
        <is>
          <t>critique</t>
        </is>
      </c>
      <c r="L17" s="11" t="inlineStr"/>
      <c r="M17" s="11" t="inlineStr"/>
      <c r="N17" s="11" t="inlineStr"/>
    </row>
    <row r="18">
      <c r="A18" s="11" t="inlineStr">
        <is>
          <t>T-021</t>
        </is>
      </c>
      <c r="B18" s="11" t="inlineStr">
        <is>
          <t>Paramètres</t>
        </is>
      </c>
      <c r="C18" s="11" t="inlineStr">
        <is>
          <t>REQ-PARAM-02</t>
        </is>
      </c>
      <c r="D18" s="11" t="inlineStr">
        <is>
          <t>Use_AI=True sans Ollama</t>
        </is>
      </c>
      <c r="E18" s="11" t="inlineStr">
        <is>
          <t>Cocher IA + Régénérer alors qu'Ollama est absent</t>
        </is>
      </c>
      <c r="F18" s="11" t="inlineStr">
        <is>
          <t>Ollama service stoppé</t>
        </is>
      </c>
      <c r="G18" s="11" t="inlineStr">
        <is>
          <t>Cocher case puis Régénérer</t>
        </is>
      </c>
      <c r="H18" s="11" t="inlineStr">
        <is>
          <t>Fallback heuristique transparent, pas de crash, mode reste « heuristic »</t>
        </is>
      </c>
      <c r="I18" s="11" t="inlineStr"/>
      <c r="J18" s="11" t="inlineStr">
        <is>
          <t>NA</t>
        </is>
      </c>
      <c r="K18" s="11" t="inlineStr">
        <is>
          <t>majeure</t>
        </is>
      </c>
      <c r="L18" s="11" t="inlineStr"/>
      <c r="M18" s="11" t="inlineStr"/>
      <c r="N18" s="11" t="inlineStr"/>
    </row>
    <row r="19">
      <c r="A19" s="11" t="inlineStr">
        <is>
          <t>T-022</t>
        </is>
      </c>
      <c r="B19" s="11" t="inlineStr">
        <is>
          <t>Paramètres</t>
        </is>
      </c>
      <c r="C19" s="11" t="inlineStr">
        <is>
          <t>REQ-PARAM-03</t>
        </is>
      </c>
      <c r="D19" s="11" t="inlineStr">
        <is>
          <t>Use_AI=True avec Ollama</t>
        </is>
      </c>
      <c r="E19" s="11" t="inlineStr">
        <is>
          <t>Cocher IA + Régénérer avec Ollama démarré</t>
        </is>
      </c>
      <c r="F19" s="11" t="inlineStr">
        <is>
          <t>Ollama serve + modèle llama3.2-vision installé</t>
        </is>
      </c>
      <c r="G19" s="11" t="inlineStr">
        <is>
          <t>Cocher case puis Régénérer</t>
        </is>
      </c>
      <c r="H19" s="11" t="inlineStr">
        <is>
          <t>Source = « hybrid », scores enrichis, titres potentiellement reformulés</t>
        </is>
      </c>
      <c r="I19" s="11" t="inlineStr"/>
      <c r="J19" s="11" t="inlineStr">
        <is>
          <t>NA</t>
        </is>
      </c>
      <c r="K19" s="11" t="inlineStr">
        <is>
          <t>majeure</t>
        </is>
      </c>
      <c r="L19" s="11" t="inlineStr"/>
      <c r="M19" s="11" t="inlineStr"/>
      <c r="N19" s="11" t="inlineStr"/>
    </row>
    <row r="20">
      <c r="A20" s="11" t="inlineStr">
        <is>
          <t>T-030</t>
        </is>
      </c>
      <c r="B20" s="11" t="inlineStr">
        <is>
          <t>Entrées</t>
        </is>
      </c>
      <c r="C20" s="11" t="inlineStr">
        <is>
          <t>REQ-IN-01</t>
        </is>
      </c>
      <c r="D20" s="11" t="inlineStr">
        <is>
          <t>JPEG nominal</t>
        </is>
      </c>
      <c r="E20" s="11" t="inlineStr">
        <is>
          <t>Image 12 MP, sRGB, ~3 Mo, IPTC complet</t>
        </is>
      </c>
      <c r="F20" s="11" t="inlineStr">
        <is>
          <t>input_nominal.jpg dans test/inputs/</t>
        </is>
      </c>
      <c r="G20" s="11" t="inlineStr">
        <is>
          <t>Analyse + Rapport expert</t>
        </is>
      </c>
      <c r="H20" s="11" t="inlineStr">
        <is>
          <t>Rapport complet, scores commercial≥6 / technique≥8 / SEO≥5, 0 risque blocker</t>
        </is>
      </c>
      <c r="I20" s="11" t="inlineStr"/>
      <c r="J20" s="11" t="inlineStr">
        <is>
          <t>NA</t>
        </is>
      </c>
      <c r="K20" s="11" t="inlineStr">
        <is>
          <t>critique</t>
        </is>
      </c>
      <c r="L20" s="11" t="inlineStr"/>
      <c r="M20" s="11" t="inlineStr"/>
      <c r="N20" s="11" t="inlineStr"/>
    </row>
    <row r="21">
      <c r="A21" s="11" t="inlineStr">
        <is>
          <t>T-031</t>
        </is>
      </c>
      <c r="B21" s="11" t="inlineStr">
        <is>
          <t>Entrées</t>
        </is>
      </c>
      <c r="C21" s="11" t="inlineStr">
        <is>
          <t>REQ-IN-02</t>
        </is>
      </c>
      <c r="D21" s="11" t="inlineStr">
        <is>
          <t>Fichier vide</t>
        </is>
      </c>
      <c r="E21" s="11" t="inlineStr">
        <is>
          <t>Fichier 0 octet renommé .jpg</t>
        </is>
      </c>
      <c r="F21" s="11" t="inlineStr">
        <is>
          <t>input_vide.jpg dans test/inputs/</t>
        </is>
      </c>
      <c r="G21" s="11" t="inlineStr">
        <is>
          <t>Tenter scan / analyse</t>
        </is>
      </c>
      <c r="H21" s="11" t="inlineStr">
        <is>
          <t>Filtre rejette proprement (Invalid), log erreur, pas de crash UI</t>
        </is>
      </c>
      <c r="I21" s="11" t="inlineStr"/>
      <c r="J21" s="11" t="inlineStr">
        <is>
          <t>NA</t>
        </is>
      </c>
      <c r="K21" s="11" t="inlineStr">
        <is>
          <t>majeure</t>
        </is>
      </c>
      <c r="L21" s="11" t="inlineStr"/>
      <c r="M21" s="11" t="inlineStr"/>
      <c r="N21" s="11" t="inlineStr"/>
    </row>
    <row r="22">
      <c r="A22" s="11" t="inlineStr">
        <is>
          <t>T-032</t>
        </is>
      </c>
      <c r="B22" s="11" t="inlineStr">
        <is>
          <t>Entrées</t>
        </is>
      </c>
      <c r="C22" s="11" t="inlineStr">
        <is>
          <t>REQ-IN-03</t>
        </is>
      </c>
      <c r="D22" s="11" t="inlineStr">
        <is>
          <t>Sous-résolution</t>
        </is>
      </c>
      <c r="E22" s="11" t="inlineStr">
        <is>
          <t>Image 1600×1250 (2 MP) — sous le minimum 4 MP</t>
        </is>
      </c>
      <c r="F22" s="11" t="inlineStr">
        <is>
          <t>input_low_mp.jpg</t>
        </is>
      </c>
      <c r="G22" s="11" t="inlineStr">
        <is>
          <t>Rapport expert</t>
        </is>
      </c>
      <c r="H22" s="11" t="inlineStr">
        <is>
          <t>RejectionRisk severity=blocker « &lt; 4 MP », score technique ≤7</t>
        </is>
      </c>
      <c r="I22" s="11" t="inlineStr"/>
      <c r="J22" s="11" t="inlineStr">
        <is>
          <t>NA</t>
        </is>
      </c>
      <c r="K22" s="11" t="inlineStr">
        <is>
          <t>majeure</t>
        </is>
      </c>
      <c r="L22" s="11" t="inlineStr"/>
      <c r="M22" s="11" t="inlineStr"/>
      <c r="N22" s="11" t="inlineStr"/>
    </row>
    <row r="23">
      <c r="A23" s="11" t="inlineStr">
        <is>
          <t>T-033</t>
        </is>
      </c>
      <c r="B23" s="11" t="inlineStr">
        <is>
          <t>Entrées</t>
        </is>
      </c>
      <c r="C23" s="11" t="inlineStr">
        <is>
          <t>REQ-IN-04</t>
        </is>
      </c>
      <c r="D23" s="11" t="inlineStr">
        <is>
          <t>Fichier volumineux</t>
        </is>
      </c>
      <c r="E23" s="11" t="inlineStr">
        <is>
          <t>JPEG &gt; 50 Mo (au-dessus du plafond Shutterstock)</t>
        </is>
      </c>
      <c r="F23" s="11" t="inlineStr">
        <is>
          <t>input_volumineux.jpg (~52 Mo)</t>
        </is>
      </c>
      <c r="G23" s="11" t="inlineStr">
        <is>
          <t>Rapport expert</t>
        </is>
      </c>
      <c r="H23" s="11" t="inlineStr">
        <is>
          <t>Warnings Adobe + Shutterstock (poids), pas bloqué, scores OK</t>
        </is>
      </c>
      <c r="I23" s="11" t="inlineStr"/>
      <c r="J23" s="11" t="inlineStr">
        <is>
          <t>NA</t>
        </is>
      </c>
      <c r="K23" s="11" t="inlineStr">
        <is>
          <t>majeure</t>
        </is>
      </c>
      <c r="L23" s="11" t="inlineStr"/>
      <c r="M23" s="11" t="inlineStr"/>
      <c r="N23" s="11" t="inlineStr"/>
    </row>
    <row r="24">
      <c r="A24" s="11" t="inlineStr">
        <is>
          <t>T-034</t>
        </is>
      </c>
      <c r="B24" s="11" t="inlineStr">
        <is>
          <t>Entrées</t>
        </is>
      </c>
      <c r="C24" s="11" t="inlineStr">
        <is>
          <t>REQ-IN-05</t>
        </is>
      </c>
      <c r="D24" s="11" t="inlineStr">
        <is>
          <t>Mauvais format</t>
        </is>
      </c>
      <c r="E24" s="11" t="inlineStr">
        <is>
          <t>PNG renommé / vrai PNG</t>
        </is>
      </c>
      <c r="F24" s="11" t="inlineStr">
        <is>
          <t>input_mauvais_format.png</t>
        </is>
      </c>
      <c r="G24" s="11" t="inlineStr">
        <is>
          <t>Rapport expert</t>
        </is>
      </c>
      <c r="H24" s="11" t="inlineStr">
        <is>
          <t>Warning « format JPEG recommandé » sur les deux plateformes</t>
        </is>
      </c>
      <c r="I24" s="11" t="inlineStr"/>
      <c r="J24" s="11" t="inlineStr">
        <is>
          <t>NA</t>
        </is>
      </c>
      <c r="K24" s="11" t="inlineStr">
        <is>
          <t>mineure</t>
        </is>
      </c>
      <c r="L24" s="11" t="inlineStr"/>
      <c r="M24" s="11" t="inlineStr"/>
      <c r="N24" s="11" t="inlineStr"/>
    </row>
    <row r="25">
      <c r="A25" s="11" t="inlineStr">
        <is>
          <t>T-035</t>
        </is>
      </c>
      <c r="B25" s="11" t="inlineStr">
        <is>
          <t>Entrées</t>
        </is>
      </c>
      <c r="C25" s="11" t="inlineStr">
        <is>
          <t>REQ-IN-06</t>
        </is>
      </c>
      <c r="D25" s="11" t="inlineStr">
        <is>
          <t>Espace CMYK</t>
        </is>
      </c>
      <c r="E25" s="11" t="inlineStr">
        <is>
          <t>JPEG en mode CMYK</t>
        </is>
      </c>
      <c r="F25" s="11" t="inlineStr">
        <is>
          <t>input_cmyk.jpg</t>
        </is>
      </c>
      <c r="G25" s="11" t="inlineStr">
        <is>
          <t>Rapport expert</t>
        </is>
      </c>
      <c r="H25" s="11" t="inlineStr">
        <is>
          <t>Warning « espace CMJN détecté (sRGB attendu) », score tech −1</t>
        </is>
      </c>
      <c r="I25" s="11" t="inlineStr"/>
      <c r="J25" s="11" t="inlineStr">
        <is>
          <t>NA</t>
        </is>
      </c>
      <c r="K25" s="11" t="inlineStr">
        <is>
          <t>mineure</t>
        </is>
      </c>
      <c r="L25" s="11" t="inlineStr"/>
      <c r="M25" s="11" t="inlineStr"/>
      <c r="N25" s="11" t="inlineStr"/>
    </row>
    <row r="26">
      <c r="A26" s="11" t="inlineStr">
        <is>
          <t>T-036</t>
        </is>
      </c>
      <c r="B26" s="11" t="inlineStr">
        <is>
          <t>Entrées</t>
        </is>
      </c>
      <c r="C26" s="11" t="inlineStr">
        <is>
          <t>REQ-IN-07</t>
        </is>
      </c>
      <c r="D26" s="11" t="inlineStr">
        <is>
          <t>UTF-8 / accents / symboles I&amp;C</t>
        </is>
      </c>
      <c r="E26" s="11" t="inlineStr">
        <is>
          <t>IPTC contient « Çà éü ° ± μ Ω 🎨 »</t>
        </is>
      </c>
      <c r="F26" s="11" t="inlineStr">
        <is>
          <t>input_utf8.jpg avec IPTC riche</t>
        </is>
      </c>
      <c r="G26" s="11" t="inlineStr">
        <is>
          <t>Lire IPTC dans l'éditeur</t>
        </is>
      </c>
      <c r="H26" s="11" t="inlineStr">
        <is>
          <t>Tous caractères préservés à l'écriture, encoding utf-8 OK</t>
        </is>
      </c>
      <c r="I26" s="11" t="inlineStr"/>
      <c r="J26" s="11" t="inlineStr">
        <is>
          <t>NA</t>
        </is>
      </c>
      <c r="K26" s="11" t="inlineStr">
        <is>
          <t>majeure</t>
        </is>
      </c>
      <c r="L26" s="11" t="inlineStr"/>
      <c r="M26" s="11" t="inlineStr"/>
      <c r="N26" s="11" t="inlineStr"/>
    </row>
    <row r="27">
      <c r="A27" s="11" t="inlineStr">
        <is>
          <t>T-037</t>
        </is>
      </c>
      <c r="B27" s="11" t="inlineStr">
        <is>
          <t>Entrées</t>
        </is>
      </c>
      <c r="C27" s="11" t="inlineStr">
        <is>
          <t>REQ-IN-08</t>
        </is>
      </c>
      <c r="D27" s="11" t="inlineStr">
        <is>
          <t>Fichier corrompu</t>
        </is>
      </c>
      <c r="E27" s="11" t="inlineStr">
        <is>
          <t>Header JPEG tronqué (premiers 200 octets seulement)</t>
        </is>
      </c>
      <c r="F27" s="11" t="inlineStr">
        <is>
          <t>input_corrompu.jpg</t>
        </is>
      </c>
      <c r="G27" s="11" t="inlineStr">
        <is>
          <t>Scanner le dossier</t>
        </is>
      </c>
      <c r="H27" s="11" t="inlineStr">
        <is>
          <t>Erreur PIL contenue, ligne marquée Invalid, app stable</t>
        </is>
      </c>
      <c r="I27" s="11" t="inlineStr"/>
      <c r="J27" s="11" t="inlineStr">
        <is>
          <t>NA</t>
        </is>
      </c>
      <c r="K27" s="11" t="inlineStr">
        <is>
          <t>majeure</t>
        </is>
      </c>
      <c r="L27" s="11" t="inlineStr"/>
      <c r="M27" s="11" t="inlineStr"/>
      <c r="N27" s="11" t="inlineStr"/>
    </row>
    <row r="28">
      <c r="A28" s="11" t="inlineStr">
        <is>
          <t>T-038</t>
        </is>
      </c>
      <c r="B28" s="11" t="inlineStr">
        <is>
          <t>Entrées</t>
        </is>
      </c>
      <c r="C28" s="11" t="inlineStr">
        <is>
          <t>REQ-IN-09</t>
        </is>
      </c>
      <c r="D28" s="11" t="inlineStr">
        <is>
          <t>Chemin avec espaces + accents</t>
        </is>
      </c>
      <c r="E28" s="11" t="inlineStr">
        <is>
          <t>Image placée dans « Dossier été/photo n°1.jpg »</t>
        </is>
      </c>
      <c r="F28" s="11" t="inlineStr">
        <is>
          <t>Sous-dossier `Dossier été/`</t>
        </is>
      </c>
      <c r="G28" s="11" t="inlineStr">
        <is>
          <t>Scanner + analyser</t>
        </is>
      </c>
      <c r="H28" s="11" t="inlineStr">
        <is>
          <t>Chemins gérés correctement (pas de UnicodeError, pas de quoting cassé)</t>
        </is>
      </c>
      <c r="I28" s="11" t="inlineStr"/>
      <c r="J28" s="11" t="inlineStr">
        <is>
          <t>NA</t>
        </is>
      </c>
      <c r="K28" s="11" t="inlineStr">
        <is>
          <t>mineure</t>
        </is>
      </c>
      <c r="L28" s="11" t="inlineStr"/>
      <c r="M28" s="11" t="inlineStr"/>
      <c r="N28" s="11" t="inlineStr"/>
    </row>
    <row r="29">
      <c r="A29" s="11" t="inlineStr">
        <is>
          <t>T-040</t>
        </is>
      </c>
      <c r="B29" s="11" t="inlineStr">
        <is>
          <t>Sorties</t>
        </is>
      </c>
      <c r="C29" s="11" t="inlineStr">
        <is>
          <t>REQ-OUT-01</t>
        </is>
      </c>
      <c r="D29" s="11" t="inlineStr">
        <is>
          <t>CSV Adobe — colonnes</t>
        </is>
      </c>
      <c r="E29" s="11" t="inlineStr">
        <is>
          <t>Export CSV Adobe après un rapport expert</t>
        </is>
      </c>
      <c r="F29" s="11" t="inlineStr">
        <is>
          <t>Rapport expert calculé</t>
        </is>
      </c>
      <c r="G29" s="11" t="inlineStr">
        <is>
          <t>Bouton Exporter CSV…</t>
        </is>
      </c>
      <c r="H29" s="11" t="inlineStr">
        <is>
          <t>Fichier `*_adobe.csv` avec BOM UTF-8, colonnes Filename,Title,Keywords,Category,Releases</t>
        </is>
      </c>
      <c r="I29" s="11" t="inlineStr"/>
      <c r="J29" s="11" t="inlineStr">
        <is>
          <t>NA</t>
        </is>
      </c>
      <c r="K29" s="11" t="inlineStr">
        <is>
          <t>critique</t>
        </is>
      </c>
      <c r="L29" s="11" t="inlineStr"/>
      <c r="M29" s="11" t="inlineStr"/>
      <c r="N29" s="11" t="inlineStr"/>
    </row>
    <row r="30">
      <c r="A30" s="11" t="inlineStr">
        <is>
          <t>T-041</t>
        </is>
      </c>
      <c r="B30" s="11" t="inlineStr">
        <is>
          <t>Sorties</t>
        </is>
      </c>
      <c r="C30" s="11" t="inlineStr">
        <is>
          <t>REQ-OUT-02</t>
        </is>
      </c>
      <c r="D30" s="11" t="inlineStr">
        <is>
          <t>CSV Shutterstock — colonnes</t>
        </is>
      </c>
      <c r="E30" s="11" t="inlineStr">
        <is>
          <t>Export CSV Shutterstock après un rapport expert</t>
        </is>
      </c>
      <c r="F30" s="11" t="inlineStr">
        <is>
          <t>Rapport expert calculé</t>
        </is>
      </c>
      <c r="G30" s="11" t="inlineStr">
        <is>
          <t>Bouton Exporter CSV…</t>
        </is>
      </c>
      <c r="H30" s="11" t="inlineStr">
        <is>
          <t>Fichier `*_shutterstock.csv` colonnes Filename,Description,Keywords,Categories,Editorial,Mature,Illustration</t>
        </is>
      </c>
      <c r="I30" s="11" t="inlineStr"/>
      <c r="J30" s="11" t="inlineStr">
        <is>
          <t>NA</t>
        </is>
      </c>
      <c r="K30" s="11" t="inlineStr">
        <is>
          <t>critique</t>
        </is>
      </c>
      <c r="L30" s="11" t="inlineStr"/>
      <c r="M30" s="11" t="inlineStr"/>
      <c r="N30" s="11" t="inlineStr"/>
    </row>
    <row r="31">
      <c r="A31" s="11" t="inlineStr">
        <is>
          <t>T-042</t>
        </is>
      </c>
      <c r="B31" s="11" t="inlineStr">
        <is>
          <t>Sorties</t>
        </is>
      </c>
      <c r="C31" s="11" t="inlineStr">
        <is>
          <t>REQ-OUT-03</t>
        </is>
      </c>
      <c r="D31" s="11" t="inlineStr">
        <is>
          <t>Keywords séparateur virgule (fix P0)</t>
        </is>
      </c>
      <c r="E31" s="11" t="inlineStr">
        <is>
          <t>Vérifier que Keywords est `kw1, kw2, kw3` (virgule), PAS `kw1 kw2 kw3` (espace)</t>
        </is>
      </c>
      <c r="F31" s="11" t="inlineStr">
        <is>
          <t>Au moins 3 keywords dans le rapport</t>
        </is>
      </c>
      <c r="G31" s="11" t="inlineStr">
        <is>
          <t>Ouvrir le CSV produit</t>
        </is>
      </c>
      <c r="H31" s="11" t="inlineStr">
        <is>
          <t>Cellule Keywords contient au moins une « , » entre chaque mot-clé</t>
        </is>
      </c>
      <c r="I31" s="11" t="inlineStr"/>
      <c r="J31" s="11" t="inlineStr">
        <is>
          <t>NA</t>
        </is>
      </c>
      <c r="K31" s="11" t="inlineStr">
        <is>
          <t>critique</t>
        </is>
      </c>
      <c r="L31" s="11" t="inlineStr"/>
      <c r="M31" s="11" t="inlineStr"/>
      <c r="N31" s="11" t="inlineStr"/>
    </row>
    <row r="32">
      <c r="A32" s="11" t="inlineStr">
        <is>
          <t>T-043</t>
        </is>
      </c>
      <c r="B32" s="11" t="inlineStr">
        <is>
          <t>Sorties</t>
        </is>
      </c>
      <c r="C32" s="11" t="inlineStr">
        <is>
          <t>REQ-OUT-04</t>
        </is>
      </c>
      <c r="D32" s="11" t="inlineStr">
        <is>
          <t>Mapping catégorie SH→Adobe</t>
        </is>
      </c>
      <c r="E32" s="11" t="inlineStr">
        <is>
          <t>Input catégorie SH = « Business/Finance » → output Adobe Category = « Business »</t>
        </is>
      </c>
      <c r="F32" s="11" t="inlineStr">
        <is>
          <t>Image avec catégorie SH</t>
        </is>
      </c>
      <c r="G32" s="11" t="inlineStr">
        <is>
          <t>Export Adobe</t>
        </is>
      </c>
      <c r="H32" s="11" t="inlineStr">
        <is>
          <t>Colonne Category = « Business » dans le CSV Adobe</t>
        </is>
      </c>
      <c r="I32" s="11" t="inlineStr"/>
      <c r="J32" s="11" t="inlineStr">
        <is>
          <t>NA</t>
        </is>
      </c>
      <c r="K32" s="11" t="inlineStr">
        <is>
          <t>majeure</t>
        </is>
      </c>
      <c r="L32" s="11" t="inlineStr"/>
      <c r="M32" s="11" t="inlineStr"/>
      <c r="N32" s="11" t="inlineStr"/>
    </row>
    <row r="33">
      <c r="A33" s="11" t="inlineStr">
        <is>
          <t>T-044</t>
        </is>
      </c>
      <c r="B33" s="11" t="inlineStr">
        <is>
          <t>Sorties</t>
        </is>
      </c>
      <c r="C33" s="11" t="inlineStr">
        <is>
          <t>REQ-OUT-05</t>
        </is>
      </c>
      <c r="D33" s="11" t="inlineStr">
        <is>
          <t>Export batch 50 lignes</t>
        </is>
      </c>
      <c r="E33" s="11" t="inlineStr">
        <is>
          <t>Sélection multiple de 50 images → 1 export</t>
        </is>
      </c>
      <c r="F33" s="11" t="inlineStr">
        <is>
          <t>50 images scannées et sélectionnées</t>
        </is>
      </c>
      <c r="G33" s="11" t="inlineStr">
        <is>
          <t>Export double CSV</t>
        </is>
      </c>
      <c r="H33" s="11" t="inlineStr">
        <is>
          <t>Chaque CSV contient exactement 50 lignes + 1 ligne d'en-tête</t>
        </is>
      </c>
      <c r="I33" s="11" t="inlineStr"/>
      <c r="J33" s="11" t="inlineStr">
        <is>
          <t>NA</t>
        </is>
      </c>
      <c r="K33" s="11" t="inlineStr">
        <is>
          <t>majeure</t>
        </is>
      </c>
      <c r="L33" s="11" t="inlineStr"/>
      <c r="M33" s="11" t="inlineStr"/>
      <c r="N33" s="11" t="inlineStr"/>
    </row>
    <row r="34">
      <c r="A34" s="11" t="inlineStr">
        <is>
          <t>T-050</t>
        </is>
      </c>
      <c r="B34" s="11" t="inlineStr">
        <is>
          <t>Cas limites</t>
        </is>
      </c>
      <c r="C34" s="11" t="inlineStr">
        <is>
          <t>REQ-LIM-01</t>
        </is>
      </c>
      <c r="D34" s="11" t="inlineStr">
        <is>
          <t>0 keyword</t>
        </is>
      </c>
      <c r="E34" s="11" t="inlineStr">
        <is>
          <t>Image avec IPTC sans keywords</t>
        </is>
      </c>
      <c r="F34" s="11" t="inlineStr">
        <is>
          <t>input_no_keywords.jpg</t>
        </is>
      </c>
      <c r="G34" s="11" t="inlineStr">
        <is>
          <t>Rapport expert</t>
        </is>
      </c>
      <c r="H34" s="11" t="inlineStr">
        <is>
          <t>RejectionRisk severity=blocker « minimum 7 »</t>
        </is>
      </c>
      <c r="I34" s="11" t="inlineStr"/>
      <c r="J34" s="11" t="inlineStr">
        <is>
          <t>NA</t>
        </is>
      </c>
      <c r="K34" s="11" t="inlineStr">
        <is>
          <t>majeure</t>
        </is>
      </c>
      <c r="L34" s="11" t="inlineStr"/>
      <c r="M34" s="11" t="inlineStr"/>
      <c r="N34" s="11" t="inlineStr"/>
    </row>
    <row r="35">
      <c r="A35" s="11" t="inlineStr">
        <is>
          <t>T-051</t>
        </is>
      </c>
      <c r="B35" s="11" t="inlineStr">
        <is>
          <t>Cas limites</t>
        </is>
      </c>
      <c r="C35" s="11" t="inlineStr">
        <is>
          <t>REQ-LIM-02</t>
        </is>
      </c>
      <c r="D35" s="11" t="inlineStr">
        <is>
          <t>&gt;50 keywords</t>
        </is>
      </c>
      <c r="E35" s="11" t="inlineStr">
        <is>
          <t>Image avec 80 keywords dans IPTC</t>
        </is>
      </c>
      <c r="F35" s="11" t="inlineStr">
        <is>
          <t>input_many_keywords.jpg</t>
        </is>
      </c>
      <c r="G35" s="11" t="inlineStr">
        <is>
          <t>Rapport expert</t>
        </is>
      </c>
      <c r="H35" s="11" t="inlineStr">
        <is>
          <t>Tronqué à 50, pas d'erreur, warning éventuel</t>
        </is>
      </c>
      <c r="I35" s="11" t="inlineStr"/>
      <c r="J35" s="11" t="inlineStr">
        <is>
          <t>NA</t>
        </is>
      </c>
      <c r="K35" s="11" t="inlineStr">
        <is>
          <t>mineure</t>
        </is>
      </c>
      <c r="L35" s="11" t="inlineStr"/>
      <c r="M35" s="11" t="inlineStr"/>
      <c r="N35" s="11" t="inlineStr"/>
    </row>
    <row r="36">
      <c r="A36" s="11" t="inlineStr">
        <is>
          <t>T-052</t>
        </is>
      </c>
      <c r="B36" s="11" t="inlineStr">
        <is>
          <t>Cas limites</t>
        </is>
      </c>
      <c r="C36" s="11" t="inlineStr">
        <is>
          <t>REQ-LIM-03</t>
        </is>
      </c>
      <c r="D36" s="11" t="inlineStr">
        <is>
          <t>Titre vide</t>
        </is>
      </c>
      <c r="E36" s="11" t="inlineStr">
        <is>
          <t>IPTC sans headline ni object_name</t>
        </is>
      </c>
      <c r="F36" s="11" t="inlineStr">
        <is>
          <t>input_no_title.jpg</t>
        </is>
      </c>
      <c r="G36" s="11" t="inlineStr">
        <is>
          <t>Rapport expert</t>
        </is>
      </c>
      <c r="H36" s="11" t="inlineStr">
        <is>
          <t>Fallback titre depuis nom de fichier, ou RejectionRisk « Titre absent »</t>
        </is>
      </c>
      <c r="I36" s="11" t="inlineStr"/>
      <c r="J36" s="11" t="inlineStr">
        <is>
          <t>NA</t>
        </is>
      </c>
      <c r="K36" s="11" t="inlineStr">
        <is>
          <t>mineure</t>
        </is>
      </c>
      <c r="L36" s="11" t="inlineStr"/>
      <c r="M36" s="11" t="inlineStr"/>
      <c r="N36" s="11" t="inlineStr"/>
    </row>
    <row r="37">
      <c r="A37" s="11" t="inlineStr">
        <is>
          <t>T-053</t>
        </is>
      </c>
      <c r="B37" s="11" t="inlineStr">
        <is>
          <t>Cas limites</t>
        </is>
      </c>
      <c r="C37" s="11" t="inlineStr">
        <is>
          <t>REQ-LIM-04</t>
        </is>
      </c>
      <c r="D37" s="11" t="inlineStr">
        <is>
          <t>Marques filtrées</t>
        </is>
      </c>
      <c r="E37" s="11" t="inlineStr">
        <is>
          <t>Keywords contiennent `apple`, `nike`, `coca-cola`</t>
        </is>
      </c>
      <c r="F37" s="11" t="inlineStr">
        <is>
          <t>input_brands.jpg</t>
        </is>
      </c>
      <c r="G37" s="11" t="inlineStr">
        <is>
          <t>Rapport expert</t>
        </is>
      </c>
      <c r="H37" s="11" t="inlineStr">
        <is>
          <t>Aucune marque ne survit dans report.keywords</t>
        </is>
      </c>
      <c r="I37" s="11" t="inlineStr"/>
      <c r="J37" s="11" t="inlineStr">
        <is>
          <t>NA</t>
        </is>
      </c>
      <c r="K37" s="11" t="inlineStr">
        <is>
          <t>majeure</t>
        </is>
      </c>
      <c r="L37" s="11" t="inlineStr"/>
      <c r="M37" s="11" t="inlineStr"/>
      <c r="N37" s="11" t="inlineStr"/>
    </row>
    <row r="38">
      <c r="A38" s="11" t="inlineStr">
        <is>
          <t>T-054</t>
        </is>
      </c>
      <c r="B38" s="11" t="inlineStr">
        <is>
          <t>Cas limites</t>
        </is>
      </c>
      <c r="C38" s="11" t="inlineStr">
        <is>
          <t>REQ-LIM-05</t>
        </is>
      </c>
      <c r="D38" s="11" t="inlineStr">
        <is>
          <t>Stuffing hors titre filtré</t>
        </is>
      </c>
      <c r="E38" s="11" t="inlineStr">
        <is>
          <t>Keywords contiennent `stock`, `image`, `wallpaper`, titre = « Sunset »</t>
        </is>
      </c>
      <c r="F38" s="11" t="inlineStr">
        <is>
          <t>input_stuffing.jpg</t>
        </is>
      </c>
      <c r="G38" s="11" t="inlineStr">
        <is>
          <t>Rapport expert</t>
        </is>
      </c>
      <c r="H38" s="11" t="inlineStr">
        <is>
          <t>Ces mots-clés filtrés silencieusement</t>
        </is>
      </c>
      <c r="I38" s="11" t="inlineStr"/>
      <c r="J38" s="11" t="inlineStr">
        <is>
          <t>NA</t>
        </is>
      </c>
      <c r="K38" s="11" t="inlineStr">
        <is>
          <t>mineure</t>
        </is>
      </c>
      <c r="L38" s="11" t="inlineStr"/>
      <c r="M38" s="11" t="inlineStr"/>
      <c r="N38" s="11" t="inlineStr"/>
    </row>
    <row r="39">
      <c r="A39" s="11" t="inlineStr">
        <is>
          <t>T-055</t>
        </is>
      </c>
      <c r="B39" s="11" t="inlineStr">
        <is>
          <t>Cas limites</t>
        </is>
      </c>
      <c r="C39" s="11" t="inlineStr">
        <is>
          <t>REQ-LIM-06</t>
        </is>
      </c>
      <c r="D39" s="11" t="inlineStr">
        <is>
          <t>Stuffing dans titre conservé</t>
        </is>
      </c>
      <c r="E39" s="11" t="inlineStr">
        <is>
          <t>Keywords contiennent `photo`, titre = « Lake Photo »</t>
        </is>
      </c>
      <c r="F39" s="11" t="inlineStr">
        <is>
          <t>input_stuffing_in_title.jpg</t>
        </is>
      </c>
      <c r="G39" s="11" t="inlineStr">
        <is>
          <t>Rapport expert</t>
        </is>
      </c>
      <c r="H39" s="11" t="inlineStr">
        <is>
          <t>« photo » est conservé (présent dans le titre)</t>
        </is>
      </c>
      <c r="I39" s="11" t="inlineStr"/>
      <c r="J39" s="11" t="inlineStr">
        <is>
          <t>NA</t>
        </is>
      </c>
      <c r="K39" s="11" t="inlineStr">
        <is>
          <t>mineure</t>
        </is>
      </c>
      <c r="L39" s="11" t="inlineStr"/>
      <c r="M39" s="11" t="inlineStr"/>
      <c r="N39" s="11" t="inlineStr"/>
    </row>
    <row r="40">
      <c r="A40" s="11" t="inlineStr">
        <is>
          <t>T-060</t>
        </is>
      </c>
      <c r="B40" s="11" t="inlineStr">
        <is>
          <t>Performance</t>
        </is>
      </c>
      <c r="C40" s="11" t="inlineStr">
        <is>
          <t>REQ-PERF-01</t>
        </is>
      </c>
      <c r="D40" s="11" t="inlineStr">
        <is>
          <t>Heuristique 50 images</t>
        </is>
      </c>
      <c r="E40" s="11" t="inlineStr">
        <is>
          <t>Construire 50 rapports sans IA</t>
        </is>
      </c>
      <c r="F40" s="11" t="inlineStr">
        <is>
          <t>50 images scannées</t>
        </is>
      </c>
      <c r="G40" s="11" t="inlineStr">
        <is>
          <t>Chronométrer batch heuristique</t>
        </is>
      </c>
      <c r="H40" s="11" t="inlineStr">
        <is>
          <t>P95 &lt; 5 s, P99 &lt; 8 s sur machine de référence</t>
        </is>
      </c>
      <c r="I40" s="11" t="inlineStr"/>
      <c r="J40" s="11" t="inlineStr">
        <is>
          <t>NA</t>
        </is>
      </c>
      <c r="K40" s="11" t="inlineStr">
        <is>
          <t>mineure</t>
        </is>
      </c>
      <c r="L40" s="11" t="inlineStr"/>
      <c r="M40" s="11" t="inlineStr"/>
      <c r="N40" s="11" t="inlineStr"/>
    </row>
    <row r="41">
      <c r="A41" s="11" t="inlineStr">
        <is>
          <t>T-061</t>
        </is>
      </c>
      <c r="B41" s="11" t="inlineStr">
        <is>
          <t>Performance</t>
        </is>
      </c>
      <c r="C41" s="11" t="inlineStr">
        <is>
          <t>REQ-PERF-02</t>
        </is>
      </c>
      <c r="D41" s="11" t="inlineStr">
        <is>
          <t>Export 500 lignes</t>
        </is>
      </c>
      <c r="E41" s="11" t="inlineStr">
        <is>
          <t>Export double CSV de 500 rapports</t>
        </is>
      </c>
      <c r="F41" s="11" t="inlineStr">
        <is>
          <t>500 rapports calculés</t>
        </is>
      </c>
      <c r="G41" s="11" t="inlineStr">
        <is>
          <t>Chronométrer export_double_csv</t>
        </is>
      </c>
      <c r="H41" s="11" t="inlineStr">
        <is>
          <t>Total &lt; 2 s</t>
        </is>
      </c>
      <c r="I41" s="11" t="inlineStr"/>
      <c r="J41" s="11" t="inlineStr">
        <is>
          <t>NA</t>
        </is>
      </c>
      <c r="K41" s="11" t="inlineStr">
        <is>
          <t>mineure</t>
        </is>
      </c>
      <c r="L41" s="11" t="inlineStr"/>
      <c r="M41" s="11" t="inlineStr"/>
      <c r="N41" s="11" t="inlineStr"/>
    </row>
    <row r="42">
      <c r="A42" s="11" t="inlineStr">
        <is>
          <t>T-062</t>
        </is>
      </c>
      <c r="B42" s="11" t="inlineStr">
        <is>
          <t>Performance</t>
        </is>
      </c>
      <c r="C42" s="11" t="inlineStr">
        <is>
          <t>REQ-PERF-03</t>
        </is>
      </c>
      <c r="D42" s="11" t="inlineStr">
        <is>
          <t>Ouverture modal expert</t>
        </is>
      </c>
      <c r="E42" s="11" t="inlineStr">
        <is>
          <t>Latence d'ouverture modal Rapport expert</t>
        </is>
      </c>
      <c r="F42" s="11" t="inlineStr">
        <is>
          <t>Image sélectionnée</t>
        </is>
      </c>
      <c r="G42" s="11" t="inlineStr">
        <is>
          <t>Chronométrer entre clic et premier widget visible</t>
        </is>
      </c>
      <c r="H42" s="11" t="inlineStr">
        <is>
          <t>&lt; 500 ms (rendu) + worker thread asynchrone</t>
        </is>
      </c>
      <c r="I42" s="11" t="inlineStr"/>
      <c r="J42" s="11" t="inlineStr">
        <is>
          <t>NA</t>
        </is>
      </c>
      <c r="K42" s="11" t="inlineStr">
        <is>
          <t>mineure</t>
        </is>
      </c>
      <c r="L42" s="11" t="inlineStr"/>
      <c r="M42" s="11" t="inlineStr"/>
      <c r="N42" s="11" t="inlineStr"/>
    </row>
    <row r="43">
      <c r="A43" s="11" t="inlineStr">
        <is>
          <t>T-070</t>
        </is>
      </c>
      <c r="B43" s="11" t="inlineStr">
        <is>
          <t>Robustesse</t>
        </is>
      </c>
      <c r="C43" s="11" t="inlineStr">
        <is>
          <t>REQ-ROB-01</t>
        </is>
      </c>
      <c r="D43" s="11" t="inlineStr">
        <is>
          <t>Backend api=None</t>
        </is>
      </c>
      <c r="E43" s="11" t="inlineStr">
        <is>
          <t>Lancer l'app sans backend</t>
        </is>
      </c>
      <c r="F43" s="11" t="inlineStr">
        <is>
          <t>Démarrage forcé api=None</t>
        </is>
      </c>
      <c r="G43" s="11" t="inlineStr">
        <is>
          <t>Ouvrir Rapport expert + Validation</t>
        </is>
      </c>
      <c r="H43" s="11" t="inlineStr">
        <is>
          <t>EmptyState propre sur chaque modal, pas de crash</t>
        </is>
      </c>
      <c r="I43" s="11" t="inlineStr"/>
      <c r="J43" s="11" t="inlineStr">
        <is>
          <t>NA</t>
        </is>
      </c>
      <c r="K43" s="11" t="inlineStr">
        <is>
          <t>majeure</t>
        </is>
      </c>
      <c r="L43" s="11" t="inlineStr"/>
      <c r="M43" s="11" t="inlineStr"/>
      <c r="N43" s="11" t="inlineStr"/>
    </row>
    <row r="44">
      <c r="A44" s="11" t="inlineStr">
        <is>
          <t>T-071</t>
        </is>
      </c>
      <c r="B44" s="11" t="inlineStr">
        <is>
          <t>Robustesse</t>
        </is>
      </c>
      <c r="C44" s="11" t="inlineStr">
        <is>
          <t>REQ-ROB-02</t>
        </is>
      </c>
      <c r="D44" s="11" t="inlineStr">
        <is>
          <t>ExifTool absent</t>
        </is>
      </c>
      <c r="E44" s="11" t="inlineStr">
        <is>
          <t>ExifTool désinstallé / chemin invalide</t>
        </is>
      </c>
      <c r="F44" s="11" t="inlineStr">
        <is>
          <t>PATH sans exiftool</t>
        </is>
      </c>
      <c r="G44" s="11" t="inlineStr">
        <is>
          <t>Tenter Lire/Écrire IPTC</t>
        </is>
      </c>
      <c r="H44" s="11" t="inlineStr">
        <is>
          <t>Toast warning « ExifTool absent », lecture/écriture désactivées proprement</t>
        </is>
      </c>
      <c r="I44" s="11" t="inlineStr"/>
      <c r="J44" s="11" t="inlineStr">
        <is>
          <t>NA</t>
        </is>
      </c>
      <c r="K44" s="11" t="inlineStr">
        <is>
          <t>majeure</t>
        </is>
      </c>
      <c r="L44" s="11" t="inlineStr"/>
      <c r="M44" s="11" t="inlineStr"/>
      <c r="N44" s="11" t="inlineStr"/>
    </row>
    <row r="45">
      <c r="A45" s="11" t="inlineStr">
        <is>
          <t>T-072</t>
        </is>
      </c>
      <c r="B45" s="11" t="inlineStr">
        <is>
          <t>Robustesse</t>
        </is>
      </c>
      <c r="C45" s="11" t="inlineStr">
        <is>
          <t>REQ-ROB-03</t>
        </is>
      </c>
      <c r="D45" s="11" t="inlineStr">
        <is>
          <t>Ollama absent + Use_AI=True</t>
        </is>
      </c>
      <c r="E45" s="11" t="inlineStr">
        <is>
          <t>Use_AI coché alors qu'Ollama n'est pas installé</t>
        </is>
      </c>
      <c r="F45" s="11" t="inlineStr">
        <is>
          <t>Service Ollama stoppé</t>
        </is>
      </c>
      <c r="G45" s="11" t="inlineStr">
        <is>
          <t>Régénérer rapport en mode IA</t>
        </is>
      </c>
      <c r="H45" s="11" t="inlineStr">
        <is>
          <t>Fallback heuristique transparent, log warning, pas de crash</t>
        </is>
      </c>
      <c r="I45" s="11" t="inlineStr"/>
      <c r="J45" s="11" t="inlineStr">
        <is>
          <t>NA</t>
        </is>
      </c>
      <c r="K45" s="11" t="inlineStr">
        <is>
          <t>majeure</t>
        </is>
      </c>
      <c r="L45" s="11" t="inlineStr"/>
      <c r="M45" s="11" t="inlineStr"/>
      <c r="N45" s="11" t="inlineStr"/>
    </row>
    <row r="46">
      <c r="A46" s="11" t="inlineStr">
        <is>
          <t>T-073</t>
        </is>
      </c>
      <c r="B46" s="11" t="inlineStr">
        <is>
          <t>Robustesse</t>
        </is>
      </c>
      <c r="C46" s="11" t="inlineStr">
        <is>
          <t>REQ-ROB-04</t>
        </is>
      </c>
      <c r="D46" s="11" t="inlineStr">
        <is>
          <t>Disque plein à l'export</t>
        </is>
      </c>
      <c r="E46" s="11" t="inlineStr">
        <is>
          <t>Tenter export CSV vers chemin sans espace</t>
        </is>
      </c>
      <c r="F46" s="11" t="inlineStr">
        <is>
          <t>Disque/dossier en lecture seule</t>
        </is>
      </c>
      <c r="G46" s="11" t="inlineStr">
        <is>
          <t>Export double CSV</t>
        </is>
      </c>
      <c r="H46" s="11" t="inlineStr">
        <is>
          <t>Erreur OS contenue, toast d'erreur clair, app stable</t>
        </is>
      </c>
      <c r="I46" s="11" t="inlineStr"/>
      <c r="J46" s="11" t="inlineStr">
        <is>
          <t>NA</t>
        </is>
      </c>
      <c r="K46" s="11" t="inlineStr">
        <is>
          <t>mineure</t>
        </is>
      </c>
      <c r="L46" s="11" t="inlineStr"/>
      <c r="M46" s="11" t="inlineStr"/>
      <c r="N46" s="11" t="inlineStr"/>
    </row>
    <row r="47">
      <c r="A47" s="11" t="inlineStr">
        <is>
          <t>T-074</t>
        </is>
      </c>
      <c r="B47" s="11" t="inlineStr">
        <is>
          <t>Robustesse</t>
        </is>
      </c>
      <c r="C47" s="11" t="inlineStr">
        <is>
          <t>REQ-ROB-05</t>
        </is>
      </c>
      <c r="D47" s="11" t="inlineStr">
        <is>
          <t>Permission refusée écriture IPTC</t>
        </is>
      </c>
      <c r="E47" s="11" t="inlineStr">
        <is>
          <t>Fichier en lecture seule</t>
        </is>
      </c>
      <c r="F47" s="11" t="inlineStr">
        <is>
          <t>chmod 444</t>
        </is>
      </c>
      <c r="G47" s="11" t="inlineStr">
        <is>
          <t>Cliquer Écrire dans l'éditeur</t>
        </is>
      </c>
      <c r="H47" s="11" t="inlineStr">
        <is>
          <t>Erreur contenue, toast d'erreur, fichier inchangé</t>
        </is>
      </c>
      <c r="I47" s="11" t="inlineStr"/>
      <c r="J47" s="11" t="inlineStr">
        <is>
          <t>NA</t>
        </is>
      </c>
      <c r="K47" s="11" t="inlineStr">
        <is>
          <t>mineure</t>
        </is>
      </c>
      <c r="L47" s="11" t="inlineStr"/>
      <c r="M47" s="11" t="inlineStr"/>
      <c r="N47" s="11" t="inlineStr"/>
    </row>
    <row r="48">
      <c r="A48" s="11" t="inlineStr">
        <is>
          <t>T-080</t>
        </is>
      </c>
      <c r="B48" s="11" t="inlineStr">
        <is>
          <t>Régression</t>
        </is>
      </c>
      <c r="C48" s="11" t="inlineStr">
        <is>
          <t>REQ-REG-01</t>
        </is>
      </c>
      <c r="D48" s="11" t="inlineStr">
        <is>
          <t>Mode Shutterstock legacy</t>
        </is>
      </c>
      <c r="E48" s="11" t="inlineStr">
        <is>
          <t>vision_analyzer.analyze_image() doit retourner le même schéma qu'avant la refonte</t>
        </is>
      </c>
      <c r="F48" s="11" t="inlineStr">
        <is>
          <t>Ollama présent + image</t>
        </is>
      </c>
      <c r="G48" s="11" t="inlineStr">
        <is>
          <t>Appeler l'API legacy directement</t>
        </is>
      </c>
      <c r="H48" s="11" t="inlineStr">
        <is>
          <t>AnalysisResult avec title/description/keywords/categories — non régressé</t>
        </is>
      </c>
      <c r="I48" s="11" t="inlineStr"/>
      <c r="J48" s="11" t="inlineStr">
        <is>
          <t>NA</t>
        </is>
      </c>
      <c r="K48" s="11" t="inlineStr">
        <is>
          <t>critique</t>
        </is>
      </c>
      <c r="L48" s="11" t="inlineStr"/>
      <c r="M48" s="11" t="inlineStr"/>
      <c r="N48" s="11" t="inlineStr"/>
    </row>
    <row r="49">
      <c r="A49" s="11" t="inlineStr">
        <is>
          <t>T-081</t>
        </is>
      </c>
      <c r="B49" s="11" t="inlineStr">
        <is>
          <t>Régression</t>
        </is>
      </c>
      <c r="C49" s="11" t="inlineStr">
        <is>
          <t>REQ-REG-02</t>
        </is>
      </c>
      <c r="D49" s="11" t="inlineStr">
        <is>
          <t>Suite pytest existante</t>
        </is>
      </c>
      <c r="E49" s="11" t="inlineStr">
        <is>
          <t>62 tests doivent rester verts</t>
        </is>
      </c>
      <c r="F49" s="11" t="inlineStr">
        <is>
          <t>—</t>
        </is>
      </c>
      <c r="G49" s="11" t="inlineStr">
        <is>
          <t>pytest tests/ -q</t>
        </is>
      </c>
      <c r="H49" s="11" t="inlineStr">
        <is>
          <t>62 passed, 0 failed</t>
        </is>
      </c>
      <c r="I49" s="11" t="inlineStr"/>
      <c r="J49" s="11" t="inlineStr">
        <is>
          <t>NA</t>
        </is>
      </c>
      <c r="K49" s="11" t="inlineStr">
        <is>
          <t>critique</t>
        </is>
      </c>
      <c r="L49" s="11" t="inlineStr"/>
      <c r="M49" s="11" t="inlineStr"/>
      <c r="N49" s="11" t="inlineStr"/>
    </row>
    <row r="50">
      <c r="A50" s="11" t="inlineStr">
        <is>
          <t>T-082</t>
        </is>
      </c>
      <c r="B50" s="11" t="inlineStr">
        <is>
          <t>Régression</t>
        </is>
      </c>
      <c r="C50" s="11" t="inlineStr">
        <is>
          <t>REQ-REG-03</t>
        </is>
      </c>
      <c r="D50" s="11" t="inlineStr">
        <is>
          <t>Build PyInstaller</t>
        </is>
      </c>
      <c r="E50" s="11" t="inlineStr">
        <is>
          <t>build.py debug + release sortent un EXE qui démarre</t>
        </is>
      </c>
      <c r="F50" s="11" t="inlineStr">
        <is>
          <t>—</t>
        </is>
      </c>
      <c r="G50" s="11" t="inlineStr">
        <is>
          <t>python build.py all</t>
        </is>
      </c>
      <c r="H50" s="11" t="inlineStr">
        <is>
          <t>2 EXE produits, smoke test mainloop OK, exit code 0</t>
        </is>
      </c>
      <c r="I50" s="11" t="inlineStr"/>
      <c r="J50" s="11" t="inlineStr">
        <is>
          <t>NA</t>
        </is>
      </c>
      <c r="K50" s="11" t="inlineStr">
        <is>
          <t>critique</t>
        </is>
      </c>
      <c r="L50" s="11" t="inlineStr"/>
      <c r="M50" s="11" t="inlineStr"/>
      <c r="N50" s="11" t="inlineStr"/>
    </row>
  </sheetData>
  <conditionalFormatting sqref="J2:J50">
    <cfRule type="cellIs" priority="1" operator="equal" dxfId="0">
      <formula>"OK"</formula>
    </cfRule>
    <cfRule type="cellIs" priority="2" operator="equal" dxfId="1">
      <formula>"NOK"</formula>
    </cfRule>
    <cfRule type="cellIs" priority="3" operator="equal" dxfId="2">
      <formula>"NA"</formula>
    </cfRule>
    <cfRule type="cellIs" priority="4" operator="equal" dxfId="3">
      <formula>"Bloqué"</formula>
    </cfRule>
  </conditionalFormatting>
  <dataValidations count="2">
    <dataValidation sqref="J2:J50" showDropDown="0" showInputMessage="0" showErrorMessage="0" allowBlank="1" type="list">
      <formula1>"OK,NOK,NA,Bloqué"</formula1>
    </dataValidation>
    <dataValidation sqref="K2:K50" showDropDown="0" showInputMessage="0" showErrorMessage="0" allowBlank="1" type="list">
      <formula1>"critique,majeure,mineure"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2026-05-19T05:32:19Z</dcterms:created>
  <dcterms:modified xmlns:dcterms="http://purl.org/dc/terms/" xmlns:xsi="http://www.w3.org/2001/XMLSchema-instance" xsi:type="dcterms:W3CDTF">2026-05-19T05:32:19Z</dcterms:modified>
</cp:coreProperties>
</file>